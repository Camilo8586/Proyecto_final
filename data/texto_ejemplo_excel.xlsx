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O 1-2" sheetId="1" r:id="rId4"/>
    <sheet state="visible" name="PUNTO 3-4" sheetId="2" r:id="rId5"/>
    <sheet state="visible" name="Punto 5 - 6" sheetId="3" r:id="rId6"/>
    <sheet state="visible" name="Punto 7-8" sheetId="4" r:id="rId7"/>
  </sheets>
  <definedNames/>
  <calcPr/>
</workbook>
</file>

<file path=xl/sharedStrings.xml><?xml version="1.0" encoding="utf-8"?>
<sst xmlns="http://schemas.openxmlformats.org/spreadsheetml/2006/main" count="120" uniqueCount="69">
  <si>
    <t>A</t>
  </si>
  <si>
    <t>C</t>
  </si>
  <si>
    <t>Bono A</t>
  </si>
  <si>
    <t>Bono C</t>
  </si>
  <si>
    <t>V.Nominal</t>
  </si>
  <si>
    <t>V.nominal</t>
  </si>
  <si>
    <t>cupón</t>
  </si>
  <si>
    <t>Precio</t>
  </si>
  <si>
    <t>N.periodos</t>
  </si>
  <si>
    <t>Cupón</t>
  </si>
  <si>
    <t>Tasa de descuento</t>
  </si>
  <si>
    <t>Precio Bono A</t>
  </si>
  <si>
    <t>Precio Bono C</t>
  </si>
  <si>
    <t>Tasa aprox.</t>
  </si>
  <si>
    <t>Bono B</t>
  </si>
  <si>
    <t>Bono D</t>
  </si>
  <si>
    <t>n.periodos</t>
  </si>
  <si>
    <t>Precio Bono B</t>
  </si>
  <si>
    <t>Precio Bono D</t>
  </si>
  <si>
    <t>Bono</t>
  </si>
  <si>
    <t>costos iniciales</t>
  </si>
  <si>
    <t>ganancias por año</t>
  </si>
  <si>
    <t>V.Cupón</t>
  </si>
  <si>
    <t>costo anual (perpetuidad)</t>
  </si>
  <si>
    <t>Rendimiento anual</t>
  </si>
  <si>
    <t xml:space="preserve">costo de capital </t>
  </si>
  <si>
    <t>Precio inicial</t>
  </si>
  <si>
    <t>Precio después del primer cupón</t>
  </si>
  <si>
    <t>VP ganancias</t>
  </si>
  <si>
    <t>VP costos perpetuidad</t>
  </si>
  <si>
    <t>Costos iniciales</t>
  </si>
  <si>
    <t>VNA</t>
  </si>
  <si>
    <t>Aereonave A</t>
  </si>
  <si>
    <t>Aereonave B</t>
  </si>
  <si>
    <t>Costo de capital</t>
  </si>
  <si>
    <t>Vida útil (años)</t>
  </si>
  <si>
    <t>Costo inicial</t>
  </si>
  <si>
    <t>Flujo de efectivo anual</t>
  </si>
  <si>
    <t>Año</t>
  </si>
  <si>
    <t>Flujo efectivo</t>
  </si>
  <si>
    <t>Valor presente neto</t>
  </si>
  <si>
    <t>TIR anual</t>
  </si>
  <si>
    <t>Utilidad por acción inicial</t>
  </si>
  <si>
    <t>Dividendos por acción inicial</t>
  </si>
  <si>
    <t>Retención inicial</t>
  </si>
  <si>
    <t>Tasa pago diviendos</t>
  </si>
  <si>
    <t>Tasa retención</t>
  </si>
  <si>
    <t>Tasa de retorno sobre la inversión</t>
  </si>
  <si>
    <t>Tasa de crecimiento de las utilidades</t>
  </si>
  <si>
    <t>Tasa de crecimiento de los dividendos</t>
  </si>
  <si>
    <t>VP de la perpetuidad</t>
  </si>
  <si>
    <t>Tasa de crecimiento de las ganacias</t>
  </si>
  <si>
    <t xml:space="preserve"> =B53/(B64-B62)</t>
  </si>
  <si>
    <t>Dividendos por acción</t>
  </si>
  <si>
    <t>Precio de la acción</t>
  </si>
  <si>
    <t>Costo Anual</t>
  </si>
  <si>
    <t>Ganacia por año</t>
  </si>
  <si>
    <t>Costo de capital anual</t>
  </si>
  <si>
    <t>TIR</t>
  </si>
  <si>
    <t>Comprobación</t>
  </si>
  <si>
    <t>Proyecto A</t>
  </si>
  <si>
    <t xml:space="preserve">TIR </t>
  </si>
  <si>
    <t>Proyecto B</t>
  </si>
  <si>
    <t>VP Proyecto A</t>
  </si>
  <si>
    <t>VP Proyecto B</t>
  </si>
  <si>
    <t>Costo Capital</t>
  </si>
  <si>
    <t>VPN Proyecto A</t>
  </si>
  <si>
    <t>VPN Proyecto B</t>
  </si>
  <si>
    <t>Diferencia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</si>
</sst>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%"/>
    <numFmt numFmtId="165" formatCode="[$ $]#,##0"/>
    <numFmt numFmtId="166" formatCode="[$ $]#,##0.0000"/>
    <numFmt numFmtId="167" formatCode="[$$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FE595"/>
        <bgColor rgb="FFFFE595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9" xfId="0" applyAlignment="1" applyBorder="1" applyFont="1" applyNumberFormat="1">
      <alignment readingOrder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2" fontId="1" numFmtId="164" xfId="0" applyAlignment="1" applyBorder="1" applyFont="1" applyNumberFormat="1">
      <alignment readingOrder="0"/>
    </xf>
    <xf borderId="1" fillId="2" fontId="1" numFmtId="164" xfId="0" applyBorder="1" applyFont="1" applyNumberFormat="1"/>
    <xf borderId="1" fillId="0" fontId="1" numFmtId="165" xfId="0" applyAlignment="1" applyBorder="1" applyFont="1" applyNumberFormat="1">
      <alignment readingOrder="0"/>
    </xf>
    <xf borderId="1" fillId="0" fontId="1" numFmtId="165" xfId="0" applyBorder="1" applyFont="1" applyNumberFormat="1"/>
    <xf borderId="1" fillId="0" fontId="1" numFmtId="10" xfId="0" applyAlignment="1" applyBorder="1" applyFont="1" applyNumberFormat="1">
      <alignment readingOrder="0"/>
    </xf>
    <xf borderId="1" fillId="2" fontId="1" numFmtId="166" xfId="0" applyBorder="1" applyFont="1" applyNumberFormat="1"/>
    <xf borderId="1" fillId="2" fontId="1" numFmtId="165" xfId="0" applyBorder="1" applyFont="1" applyNumberForma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1" fillId="0" fontId="1" numFmtId="167" xfId="0" applyAlignment="1" applyBorder="1" applyFont="1" applyNumberFormat="1">
      <alignment horizontal="center" readingOrder="0"/>
    </xf>
    <xf borderId="1" fillId="0" fontId="1" numFmtId="167" xfId="0" applyAlignment="1" applyBorder="1" applyFont="1" applyNumberFormat="1">
      <alignment horizontal="center"/>
    </xf>
    <xf borderId="1" fillId="2" fontId="1" numFmtId="167" xfId="0" applyAlignment="1" applyBorder="1" applyFont="1" applyNumberFormat="1">
      <alignment horizontal="center"/>
    </xf>
    <xf borderId="0" fillId="0" fontId="1" numFmtId="0" xfId="0" applyFont="1"/>
    <xf borderId="1" fillId="2" fontId="1" numFmtId="10" xfId="0" applyAlignment="1" applyBorder="1" applyFont="1" applyNumberFormat="1">
      <alignment horizontal="center"/>
    </xf>
    <xf borderId="0" fillId="0" fontId="1" numFmtId="167" xfId="0" applyFont="1" applyNumberFormat="1"/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167" xfId="0" applyAlignment="1" applyBorder="1" applyFont="1" applyNumberFormat="1">
      <alignment horizontal="center" readingOrder="0" vertical="center"/>
    </xf>
    <xf borderId="3" fillId="0" fontId="3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0" fontId="1" numFmtId="167" xfId="0" applyAlignment="1" applyBorder="1" applyFont="1" applyNumberFormat="1">
      <alignment horizontal="center" readingOrder="0" vertical="center"/>
    </xf>
    <xf borderId="1" fillId="0" fontId="1" numFmtId="10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readingOrder="0" shrinkToFit="0" wrapText="1"/>
    </xf>
    <xf borderId="2" fillId="0" fontId="1" numFmtId="10" xfId="0" applyAlignment="1" applyBorder="1" applyFont="1" applyNumberFormat="1">
      <alignment horizontal="center" readingOrder="0" vertical="center"/>
    </xf>
    <xf borderId="2" fillId="2" fontId="1" numFmtId="10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2" fillId="0" fontId="1" numFmtId="10" xfId="0" applyAlignment="1" applyBorder="1" applyFont="1" applyNumberFormat="1">
      <alignment horizontal="center"/>
    </xf>
    <xf borderId="2" fillId="0" fontId="1" numFmtId="10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/>
    </xf>
    <xf borderId="1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0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wrapText="1"/>
    </xf>
    <xf borderId="0" fillId="0" fontId="1" numFmtId="10" xfId="0" applyAlignment="1" applyFont="1" applyNumberFormat="1">
      <alignment horizontal="center" readingOrder="0" vertical="center"/>
    </xf>
    <xf borderId="1" fillId="0" fontId="1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/>
    </xf>
    <xf borderId="0" fillId="2" fontId="1" numFmtId="167" xfId="0" applyAlignment="1" applyFont="1" applyNumberFormat="1">
      <alignment horizontal="center"/>
    </xf>
    <xf borderId="1" fillId="0" fontId="1" numFmtId="167" xfId="0" applyAlignment="1" applyBorder="1" applyFont="1" applyNumberFormat="1">
      <alignment horizontal="center"/>
    </xf>
    <xf borderId="0" fillId="2" fontId="1" numFmtId="9" xfId="0" applyAlignment="1" applyFont="1" applyNumberFormat="1">
      <alignment horizontal="center"/>
    </xf>
    <xf borderId="1" fillId="4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30</xdr:row>
      <xdr:rowOff>190500</xdr:rowOff>
    </xdr:from>
    <xdr:ext cx="2971800" cy="2314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5" max="5" width="15.25"/>
  </cols>
  <sheetData>
    <row r="2">
      <c r="B2" s="1" t="s">
        <v>0</v>
      </c>
      <c r="C2" s="2"/>
      <c r="E2" s="1" t="s">
        <v>1</v>
      </c>
      <c r="F2" s="2"/>
      <c r="I2" s="1" t="s">
        <v>2</v>
      </c>
      <c r="J2" s="2"/>
      <c r="L2" s="1" t="s">
        <v>3</v>
      </c>
      <c r="M2" s="2"/>
    </row>
    <row r="3">
      <c r="B3" s="1" t="s">
        <v>4</v>
      </c>
      <c r="C3" s="1">
        <v>100.0</v>
      </c>
      <c r="E3" s="1" t="s">
        <v>4</v>
      </c>
      <c r="F3" s="1">
        <v>100.0</v>
      </c>
      <c r="I3" s="1" t="s">
        <v>5</v>
      </c>
      <c r="J3" s="1">
        <v>100.0</v>
      </c>
      <c r="L3" s="1" t="s">
        <v>5</v>
      </c>
      <c r="M3" s="1">
        <v>100.0</v>
      </c>
    </row>
    <row r="4">
      <c r="B4" s="1" t="s">
        <v>6</v>
      </c>
      <c r="C4" s="1">
        <v>2.0</v>
      </c>
      <c r="E4" s="1" t="s">
        <v>6</v>
      </c>
      <c r="F4" s="1">
        <v>5.0</v>
      </c>
      <c r="I4" s="1" t="s">
        <v>7</v>
      </c>
      <c r="J4" s="1">
        <v>103.75</v>
      </c>
      <c r="L4" s="1" t="s">
        <v>7</v>
      </c>
      <c r="M4" s="1">
        <v>22.375</v>
      </c>
    </row>
    <row r="5">
      <c r="B5" s="1" t="s">
        <v>8</v>
      </c>
      <c r="C5" s="1">
        <v>6.0</v>
      </c>
      <c r="E5" s="1" t="s">
        <v>8</v>
      </c>
      <c r="F5" s="1">
        <v>5.0</v>
      </c>
      <c r="I5" s="1" t="s">
        <v>6</v>
      </c>
      <c r="J5" s="1">
        <v>3.5</v>
      </c>
      <c r="L5" s="1" t="s">
        <v>9</v>
      </c>
      <c r="M5" s="1">
        <v>0.0</v>
      </c>
    </row>
    <row r="6">
      <c r="B6" s="1" t="s">
        <v>10</v>
      </c>
      <c r="C6" s="3">
        <v>0.03</v>
      </c>
      <c r="E6" s="1" t="s">
        <v>10</v>
      </c>
      <c r="F6" s="3">
        <v>0.05</v>
      </c>
      <c r="I6" s="1" t="s">
        <v>8</v>
      </c>
      <c r="J6" s="1">
        <v>4.0</v>
      </c>
      <c r="L6" s="1" t="s">
        <v>8</v>
      </c>
      <c r="M6" s="1">
        <v>60.0</v>
      </c>
    </row>
    <row r="7">
      <c r="B7" s="4" t="s">
        <v>11</v>
      </c>
      <c r="C7" s="5">
        <f>C4*((1-(1+C6)^-C5)/C6)+C3*(1+C6)^-6</f>
        <v>94.58280856</v>
      </c>
      <c r="E7" s="4" t="s">
        <v>12</v>
      </c>
      <c r="F7" s="5">
        <f>F4*((1-(1+F6)^-F5)/F6)+F3*(1+F6)^-F5</f>
        <v>100</v>
      </c>
      <c r="I7" s="4" t="s">
        <v>13</v>
      </c>
      <c r="J7" s="6">
        <f>+RATE(J6,J5,-J4,J3)</f>
        <v>0.02503108319</v>
      </c>
      <c r="L7" s="4" t="s">
        <v>13</v>
      </c>
      <c r="M7" s="7">
        <f>+RATE(M6,0,-M4,M3)</f>
        <v>0.02526771655</v>
      </c>
    </row>
    <row r="9">
      <c r="B9" s="1" t="s">
        <v>14</v>
      </c>
      <c r="C9" s="2"/>
      <c r="E9" s="1" t="s">
        <v>15</v>
      </c>
      <c r="F9" s="2"/>
      <c r="I9" s="1" t="s">
        <v>14</v>
      </c>
      <c r="J9" s="2"/>
    </row>
    <row r="10">
      <c r="B10" s="1" t="s">
        <v>4</v>
      </c>
      <c r="C10" s="1">
        <v>100.0</v>
      </c>
      <c r="E10" s="1" t="s">
        <v>4</v>
      </c>
      <c r="F10" s="1">
        <v>100.0</v>
      </c>
      <c r="I10" s="1" t="s">
        <v>5</v>
      </c>
      <c r="J10" s="1">
        <v>100.0</v>
      </c>
    </row>
    <row r="11">
      <c r="B11" s="1" t="s">
        <v>9</v>
      </c>
      <c r="C11" s="1">
        <v>6.0</v>
      </c>
      <c r="E11" s="1" t="s">
        <v>9</v>
      </c>
      <c r="F11" s="1">
        <v>0.0</v>
      </c>
      <c r="I11" s="1" t="s">
        <v>7</v>
      </c>
      <c r="J11" s="1">
        <v>96.5</v>
      </c>
    </row>
    <row r="12">
      <c r="B12" s="1" t="s">
        <v>8</v>
      </c>
      <c r="C12" s="1">
        <v>4.0</v>
      </c>
      <c r="E12" s="1" t="s">
        <v>8</v>
      </c>
      <c r="F12" s="1">
        <v>10.0</v>
      </c>
      <c r="I12" s="1" t="s">
        <v>9</v>
      </c>
      <c r="J12" s="1">
        <v>2.25</v>
      </c>
    </row>
    <row r="13">
      <c r="B13" s="1" t="s">
        <v>10</v>
      </c>
      <c r="C13" s="3">
        <v>0.04</v>
      </c>
      <c r="E13" s="1" t="s">
        <v>10</v>
      </c>
      <c r="F13" s="3">
        <v>0.02</v>
      </c>
      <c r="I13" s="1" t="s">
        <v>16</v>
      </c>
      <c r="J13" s="1">
        <v>6.0</v>
      </c>
    </row>
    <row r="14">
      <c r="B14" s="4" t="s">
        <v>17</v>
      </c>
      <c r="C14" s="5">
        <f>C11*((1-(1+C13)^-C12)/C13)+C10*(1+C13)^-C12</f>
        <v>107.2597904</v>
      </c>
      <c r="E14" s="4" t="s">
        <v>18</v>
      </c>
      <c r="F14" s="5">
        <f>F10*(1+F13)^-F12</f>
        <v>82.03482999</v>
      </c>
      <c r="I14" s="4" t="s">
        <v>13</v>
      </c>
      <c r="J14" s="7">
        <f>+RATE(J13,J12,-J11,J10)</f>
        <v>0.02893819323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5" max="5" width="18.75"/>
  </cols>
  <sheetData>
    <row r="2">
      <c r="B2" s="1" t="s">
        <v>19</v>
      </c>
      <c r="C2" s="2"/>
      <c r="E2" s="1" t="s">
        <v>20</v>
      </c>
      <c r="F2" s="8">
        <v>5100000.0</v>
      </c>
    </row>
    <row r="3">
      <c r="B3" s="1" t="s">
        <v>8</v>
      </c>
      <c r="C3" s="1">
        <v>6.0</v>
      </c>
      <c r="E3" s="1" t="s">
        <v>21</v>
      </c>
      <c r="F3" s="8">
        <v>1000000.0</v>
      </c>
    </row>
    <row r="4">
      <c r="B4" s="1" t="s">
        <v>5</v>
      </c>
      <c r="C4" s="8">
        <v>100.0</v>
      </c>
      <c r="E4" s="1" t="s">
        <v>16</v>
      </c>
      <c r="F4" s="1">
        <v>10.0</v>
      </c>
    </row>
    <row r="5">
      <c r="B5" s="1" t="s">
        <v>22</v>
      </c>
      <c r="C5" s="9">
        <f>6.5%*C4</f>
        <v>6.5</v>
      </c>
      <c r="E5" s="1" t="s">
        <v>23</v>
      </c>
      <c r="F5" s="8">
        <v>97000.0</v>
      </c>
    </row>
    <row r="6">
      <c r="B6" s="1" t="s">
        <v>24</v>
      </c>
      <c r="C6" s="3">
        <v>0.08</v>
      </c>
      <c r="E6" s="1" t="s">
        <v>25</v>
      </c>
      <c r="F6" s="10">
        <v>0.0554</v>
      </c>
    </row>
    <row r="7">
      <c r="B7" s="4" t="s">
        <v>26</v>
      </c>
      <c r="C7" s="11">
        <f>C5*((1-(1+C6)^-C3)/C6)+C4*(1+C6)^-C3</f>
        <v>93.0656805</v>
      </c>
    </row>
    <row r="8">
      <c r="B8" s="4" t="s">
        <v>27</v>
      </c>
      <c r="C8" s="11">
        <f>C5*((1-(1+C6)^-5)/C6)+C4*(1+C6)^-5</f>
        <v>94.01093494</v>
      </c>
      <c r="E8" s="1" t="s">
        <v>28</v>
      </c>
      <c r="F8" s="9">
        <f>PV(F6,F4,-F3,0)</f>
        <v>7523184.855</v>
      </c>
    </row>
    <row r="9">
      <c r="E9" s="1" t="s">
        <v>29</v>
      </c>
      <c r="F9" s="9">
        <f>F5/F6</f>
        <v>1750902.527</v>
      </c>
    </row>
    <row r="10">
      <c r="E10" s="1" t="s">
        <v>30</v>
      </c>
      <c r="F10" s="9">
        <f>F2</f>
        <v>5100000</v>
      </c>
    </row>
    <row r="11">
      <c r="E11" s="4" t="s">
        <v>31</v>
      </c>
      <c r="F11" s="12">
        <f>F8-F9-F10</f>
        <v>672282.3277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5.13"/>
    <col customWidth="1" min="3" max="3" width="20.63"/>
    <col customWidth="1" min="5" max="5" width="16.75"/>
    <col customWidth="1" min="6" max="6" width="17.25"/>
    <col customWidth="1" min="7" max="7" width="20.5"/>
  </cols>
  <sheetData>
    <row r="1">
      <c r="A1" s="13" t="s">
        <v>32</v>
      </c>
      <c r="B1" s="14"/>
      <c r="E1" s="13" t="s">
        <v>33</v>
      </c>
      <c r="F1" s="14"/>
    </row>
    <row r="2">
      <c r="A2" s="15"/>
      <c r="B2" s="16"/>
      <c r="E2" s="15"/>
      <c r="F2" s="16"/>
    </row>
    <row r="3">
      <c r="A3" s="17" t="s">
        <v>34</v>
      </c>
      <c r="B3" s="18">
        <v>0.12</v>
      </c>
      <c r="E3" s="17" t="s">
        <v>34</v>
      </c>
      <c r="F3" s="18">
        <v>0.12</v>
      </c>
    </row>
    <row r="4">
      <c r="A4" s="17" t="s">
        <v>35</v>
      </c>
      <c r="B4" s="17">
        <v>5.0</v>
      </c>
      <c r="E4" s="17" t="s">
        <v>35</v>
      </c>
      <c r="F4" s="17">
        <v>10.0</v>
      </c>
    </row>
    <row r="5">
      <c r="A5" s="17" t="s">
        <v>36</v>
      </c>
      <c r="B5" s="19">
        <v>1.0E8</v>
      </c>
      <c r="E5" s="17" t="s">
        <v>36</v>
      </c>
      <c r="F5" s="19">
        <v>1.32E8</v>
      </c>
    </row>
    <row r="6">
      <c r="A6" s="17" t="s">
        <v>37</v>
      </c>
      <c r="B6" s="19">
        <v>3.0E7</v>
      </c>
      <c r="E6" s="17" t="s">
        <v>37</v>
      </c>
      <c r="F6" s="19">
        <v>2.5E7</v>
      </c>
    </row>
    <row r="7">
      <c r="A7" s="14"/>
      <c r="B7" s="14"/>
      <c r="E7" s="14"/>
      <c r="F7" s="14"/>
    </row>
    <row r="8">
      <c r="A8" s="17" t="s">
        <v>38</v>
      </c>
      <c r="B8" s="17" t="s">
        <v>39</v>
      </c>
      <c r="E8" s="17" t="s">
        <v>38</v>
      </c>
      <c r="F8" s="17" t="s">
        <v>39</v>
      </c>
    </row>
    <row r="9">
      <c r="A9" s="17">
        <v>0.0</v>
      </c>
      <c r="B9" s="20">
        <f>-B5</f>
        <v>-100000000</v>
      </c>
      <c r="E9" s="17">
        <v>0.0</v>
      </c>
      <c r="F9" s="20">
        <f>-F5</f>
        <v>-132000000</v>
      </c>
    </row>
    <row r="10">
      <c r="A10" s="17">
        <v>1.0</v>
      </c>
      <c r="B10" s="20">
        <f t="shared" ref="B10:B14" si="1">$B$6</f>
        <v>30000000</v>
      </c>
      <c r="E10" s="17">
        <v>1.0</v>
      </c>
      <c r="F10" s="20">
        <f t="shared" ref="F10:F19" si="2">$F$6</f>
        <v>25000000</v>
      </c>
    </row>
    <row r="11">
      <c r="A11" s="17">
        <v>2.0</v>
      </c>
      <c r="B11" s="20">
        <f t="shared" si="1"/>
        <v>30000000</v>
      </c>
      <c r="E11" s="17">
        <v>2.0</v>
      </c>
      <c r="F11" s="20">
        <f t="shared" si="2"/>
        <v>25000000</v>
      </c>
    </row>
    <row r="12">
      <c r="A12" s="17">
        <v>3.0</v>
      </c>
      <c r="B12" s="20">
        <f t="shared" si="1"/>
        <v>30000000</v>
      </c>
      <c r="E12" s="17">
        <v>3.0</v>
      </c>
      <c r="F12" s="20">
        <f t="shared" si="2"/>
        <v>25000000</v>
      </c>
    </row>
    <row r="13">
      <c r="A13" s="17">
        <v>4.0</v>
      </c>
      <c r="B13" s="20">
        <f t="shared" si="1"/>
        <v>30000000</v>
      </c>
      <c r="E13" s="17">
        <v>4.0</v>
      </c>
      <c r="F13" s="20">
        <f t="shared" si="2"/>
        <v>25000000</v>
      </c>
    </row>
    <row r="14">
      <c r="A14" s="17">
        <v>5.0</v>
      </c>
      <c r="B14" s="20">
        <f t="shared" si="1"/>
        <v>30000000</v>
      </c>
      <c r="E14" s="17">
        <v>5.0</v>
      </c>
      <c r="F14" s="20">
        <f t="shared" si="2"/>
        <v>25000000</v>
      </c>
    </row>
    <row r="15">
      <c r="A15" s="14"/>
      <c r="B15" s="14"/>
      <c r="E15" s="17">
        <v>6.0</v>
      </c>
      <c r="F15" s="20">
        <f t="shared" si="2"/>
        <v>25000000</v>
      </c>
    </row>
    <row r="16">
      <c r="A16" s="17" t="s">
        <v>40</v>
      </c>
      <c r="B16" s="21">
        <f t="array" ref="B16">NPV(B3,B10:B14)+B9</f>
        <v>8143286.07</v>
      </c>
      <c r="C16" s="22" t="str">
        <f t="shared" ref="C16:C17" si="3">FORMULATEXT(B16)</f>
        <v>=NPV(B3;B10:B14)+B9</v>
      </c>
      <c r="E16" s="17">
        <v>7.0</v>
      </c>
      <c r="F16" s="20">
        <f t="shared" si="2"/>
        <v>25000000</v>
      </c>
    </row>
    <row r="17">
      <c r="A17" s="17" t="s">
        <v>41</v>
      </c>
      <c r="B17" s="23">
        <f>IRR(B9:B14)</f>
        <v>0.1523823712</v>
      </c>
      <c r="C17" s="22" t="str">
        <f t="shared" si="3"/>
        <v>=IRR(B9:B14)</v>
      </c>
      <c r="E17" s="17">
        <v>8.0</v>
      </c>
      <c r="F17" s="20">
        <f t="shared" si="2"/>
        <v>25000000</v>
      </c>
    </row>
    <row r="18">
      <c r="E18" s="17">
        <v>9.0</v>
      </c>
      <c r="F18" s="20">
        <f t="shared" si="2"/>
        <v>25000000</v>
      </c>
    </row>
    <row r="19">
      <c r="E19" s="17">
        <v>10.0</v>
      </c>
      <c r="F19" s="20">
        <f t="shared" si="2"/>
        <v>25000000</v>
      </c>
    </row>
    <row r="21">
      <c r="E21" s="17" t="s">
        <v>40</v>
      </c>
      <c r="F21" s="21">
        <f t="array" ref="F21">NPV(F3,F10:F19)+F9</f>
        <v>9255575.71</v>
      </c>
      <c r="G21" s="22" t="str">
        <f t="shared" ref="G21:G22" si="4">FORMULATEXT(F21)</f>
        <v>=NPV(F3;F10:F19)+F9</v>
      </c>
    </row>
    <row r="22">
      <c r="E22" s="17" t="s">
        <v>41</v>
      </c>
      <c r="F22" s="23">
        <f>IRR(F9:F19)</f>
        <v>0.1368923086</v>
      </c>
      <c r="G22" s="22" t="str">
        <f t="shared" si="4"/>
        <v>=IRR(F9:F19)</v>
      </c>
    </row>
    <row r="28">
      <c r="B28" s="24"/>
    </row>
    <row r="29">
      <c r="A29" s="25" t="s">
        <v>42</v>
      </c>
      <c r="B29" s="26">
        <v>4.01</v>
      </c>
      <c r="G29" s="24"/>
    </row>
    <row r="30">
      <c r="A30" s="27"/>
      <c r="B30" s="27"/>
      <c r="G30" s="24"/>
    </row>
    <row r="31">
      <c r="A31" s="25" t="s">
        <v>43</v>
      </c>
      <c r="B31" s="26">
        <v>2.09</v>
      </c>
      <c r="G31" s="24"/>
    </row>
    <row r="32">
      <c r="A32" s="27"/>
      <c r="B32" s="27"/>
      <c r="G32" s="24"/>
    </row>
    <row r="33">
      <c r="A33" s="28" t="s">
        <v>44</v>
      </c>
      <c r="B33" s="29">
        <v>1.92</v>
      </c>
      <c r="G33" s="24"/>
    </row>
    <row r="34">
      <c r="A34" s="28" t="s">
        <v>45</v>
      </c>
      <c r="B34" s="30">
        <f>B31/B29</f>
        <v>0.5211970075</v>
      </c>
      <c r="G34" s="24"/>
    </row>
    <row r="35">
      <c r="A35" s="28" t="s">
        <v>46</v>
      </c>
      <c r="B35" s="30">
        <f>1-B34</f>
        <v>0.4788029925</v>
      </c>
    </row>
    <row r="36">
      <c r="A36" s="31" t="s">
        <v>47</v>
      </c>
      <c r="B36" s="32">
        <v>0.151</v>
      </c>
    </row>
    <row r="37">
      <c r="A37" s="27"/>
      <c r="B37" s="27"/>
    </row>
    <row r="40">
      <c r="A40" s="25" t="s">
        <v>48</v>
      </c>
      <c r="B40" s="33">
        <f>B36*B35</f>
        <v>0.07229925187</v>
      </c>
      <c r="C40" s="34" t="str">
        <f>FORMULATEXT(B40)</f>
        <v>=B36*B35</v>
      </c>
    </row>
    <row r="41">
      <c r="A41" s="27"/>
      <c r="B41" s="27"/>
    </row>
    <row r="42">
      <c r="A42" s="14"/>
      <c r="B42" s="14"/>
    </row>
    <row r="43">
      <c r="A43" s="14"/>
      <c r="B43" s="14"/>
    </row>
    <row r="44">
      <c r="A44" s="14"/>
      <c r="B44" s="14"/>
    </row>
    <row r="45">
      <c r="A45" s="17" t="s">
        <v>34</v>
      </c>
      <c r="B45" s="18">
        <v>0.128</v>
      </c>
    </row>
    <row r="46">
      <c r="A46" s="31" t="s">
        <v>49</v>
      </c>
      <c r="B46" s="35">
        <f>B40</f>
        <v>0.07229925187</v>
      </c>
    </row>
    <row r="47">
      <c r="A47" s="27"/>
      <c r="B47" s="27"/>
    </row>
    <row r="48">
      <c r="A48" s="17" t="s">
        <v>50</v>
      </c>
      <c r="B48" s="21">
        <f>B31/(B45-B40)</f>
        <v>37.52193768</v>
      </c>
      <c r="C48" s="22" t="str">
        <f>FORMULATEXT(B48)</f>
        <v>=B31/(B45-B40)</v>
      </c>
    </row>
    <row r="49">
      <c r="A49" s="14"/>
      <c r="B49" s="14"/>
    </row>
    <row r="50">
      <c r="A50" s="14"/>
      <c r="B50" s="14"/>
    </row>
    <row r="51">
      <c r="A51" s="25" t="s">
        <v>42</v>
      </c>
      <c r="B51" s="26">
        <v>4.01</v>
      </c>
    </row>
    <row r="52">
      <c r="A52" s="27"/>
      <c r="B52" s="27"/>
    </row>
    <row r="53">
      <c r="A53" s="25" t="s">
        <v>43</v>
      </c>
      <c r="B53" s="26">
        <v>3.09</v>
      </c>
    </row>
    <row r="54">
      <c r="A54" s="27"/>
      <c r="B54" s="27"/>
    </row>
    <row r="55">
      <c r="A55" s="28" t="s">
        <v>44</v>
      </c>
      <c r="B55" s="29">
        <v>0.92</v>
      </c>
    </row>
    <row r="56">
      <c r="A56" s="28" t="s">
        <v>45</v>
      </c>
      <c r="B56" s="30">
        <f>B53/B51</f>
        <v>0.7705735661</v>
      </c>
    </row>
    <row r="57">
      <c r="A57" s="28" t="s">
        <v>46</v>
      </c>
      <c r="B57" s="30">
        <f>1-B56</f>
        <v>0.2294264339</v>
      </c>
    </row>
    <row r="58">
      <c r="A58" s="31" t="s">
        <v>47</v>
      </c>
      <c r="B58" s="32">
        <v>0.151</v>
      </c>
    </row>
    <row r="59">
      <c r="A59" s="27"/>
      <c r="B59" s="27"/>
    </row>
    <row r="62">
      <c r="A62" s="31" t="s">
        <v>51</v>
      </c>
      <c r="B62" s="36">
        <f>B58*B57</f>
        <v>0.03464339152</v>
      </c>
      <c r="C62" s="34" t="str">
        <f>FORMULATEXT(B62)</f>
        <v>=B58*B57</v>
      </c>
      <c r="F62" s="24">
        <f>B48-B65</f>
        <v>4.423048909</v>
      </c>
    </row>
    <row r="63">
      <c r="A63" s="27"/>
      <c r="B63" s="27"/>
    </row>
    <row r="64">
      <c r="A64" s="17" t="s">
        <v>34</v>
      </c>
      <c r="B64" s="18">
        <v>0.128</v>
      </c>
    </row>
    <row r="65">
      <c r="A65" s="17" t="s">
        <v>50</v>
      </c>
      <c r="B65" s="21">
        <f>B53/(B64-B62)</f>
        <v>33.09888877</v>
      </c>
      <c r="C65" s="37" t="s">
        <v>52</v>
      </c>
    </row>
    <row r="68">
      <c r="A68" s="38" t="s">
        <v>53</v>
      </c>
      <c r="B68" s="38" t="s">
        <v>54</v>
      </c>
    </row>
    <row r="69">
      <c r="A69" s="17">
        <v>0.62</v>
      </c>
      <c r="B69" s="20">
        <f t="shared" ref="B69:B75" si="5">A69/($B$45-($B$36*(($B$29-A69)/$B$29)))</f>
        <v>1788.633094</v>
      </c>
      <c r="C69" s="22" t="str">
        <f>FORMULATEXT(B69)</f>
        <v>=A69/($B$45-($B$36*(($B$29-A69)/$B$29)))</v>
      </c>
    </row>
    <row r="70">
      <c r="A70" s="17">
        <v>0.8</v>
      </c>
      <c r="B70" s="20">
        <f t="shared" si="5"/>
        <v>112.2856143</v>
      </c>
      <c r="I70" s="39"/>
      <c r="J70" s="40"/>
    </row>
    <row r="71">
      <c r="A71" s="17">
        <v>1.0</v>
      </c>
      <c r="B71" s="20">
        <f t="shared" si="5"/>
        <v>68.2320912</v>
      </c>
    </row>
    <row r="72">
      <c r="A72" s="17">
        <v>1.5</v>
      </c>
      <c r="B72" s="20">
        <f t="shared" si="5"/>
        <v>44.79779549</v>
      </c>
      <c r="I72" s="39"/>
      <c r="J72" s="40"/>
    </row>
    <row r="73">
      <c r="A73" s="17">
        <v>2.0</v>
      </c>
      <c r="B73" s="20">
        <f t="shared" si="5"/>
        <v>38.23234972</v>
      </c>
    </row>
    <row r="74">
      <c r="A74" s="17">
        <v>2.5</v>
      </c>
      <c r="B74" s="20">
        <f t="shared" si="5"/>
        <v>35.14214604</v>
      </c>
      <c r="I74" s="41"/>
      <c r="J74" s="40"/>
    </row>
    <row r="75">
      <c r="A75" s="17">
        <v>3.0</v>
      </c>
      <c r="B75" s="20">
        <f t="shared" si="5"/>
        <v>33.34534468</v>
      </c>
      <c r="I75" s="41"/>
      <c r="J75" s="42"/>
    </row>
    <row r="76">
      <c r="A76" s="40"/>
      <c r="B76" s="24"/>
      <c r="I76" s="41"/>
      <c r="J76" s="43"/>
    </row>
    <row r="77">
      <c r="A77" s="40"/>
      <c r="I77" s="44"/>
      <c r="J77" s="45"/>
    </row>
    <row r="81">
      <c r="I81" s="44"/>
      <c r="J81" s="42"/>
      <c r="K81" s="34"/>
    </row>
    <row r="83">
      <c r="I83" s="15"/>
      <c r="J83" s="16"/>
    </row>
    <row r="84">
      <c r="I84" s="15"/>
      <c r="J84" s="14"/>
    </row>
  </sheetData>
  <mergeCells count="30">
    <mergeCell ref="B40:B41"/>
    <mergeCell ref="C40:C41"/>
    <mergeCell ref="A29:A30"/>
    <mergeCell ref="B29:B30"/>
    <mergeCell ref="A31:A32"/>
    <mergeCell ref="B31:B32"/>
    <mergeCell ref="A36:A37"/>
    <mergeCell ref="B36:B37"/>
    <mergeCell ref="A40:A41"/>
    <mergeCell ref="A46:A47"/>
    <mergeCell ref="B46:B47"/>
    <mergeCell ref="A51:A52"/>
    <mergeCell ref="B51:B52"/>
    <mergeCell ref="A53:A54"/>
    <mergeCell ref="B53:B54"/>
    <mergeCell ref="B58:B59"/>
    <mergeCell ref="I72:I73"/>
    <mergeCell ref="J72:J73"/>
    <mergeCell ref="I77:I78"/>
    <mergeCell ref="J77:J78"/>
    <mergeCell ref="I81:I82"/>
    <mergeCell ref="J81:J82"/>
    <mergeCell ref="K81:K82"/>
    <mergeCell ref="A58:A59"/>
    <mergeCell ref="A62:A63"/>
    <mergeCell ref="B62:B63"/>
    <mergeCell ref="C62:C63"/>
    <mergeCell ref="C69:E69"/>
    <mergeCell ref="I70:I71"/>
    <mergeCell ref="J70:J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6.13"/>
    <col customWidth="1" min="3" max="3" width="17.5"/>
    <col customWidth="1" min="4" max="4" width="14.75"/>
  </cols>
  <sheetData>
    <row r="2">
      <c r="A2" s="17" t="s">
        <v>55</v>
      </c>
      <c r="B2" s="19">
        <v>185000.0</v>
      </c>
      <c r="C2" s="14"/>
    </row>
    <row r="3">
      <c r="A3" s="17" t="s">
        <v>56</v>
      </c>
      <c r="B3" s="19">
        <v>259000.0</v>
      </c>
      <c r="C3" s="14"/>
    </row>
    <row r="4">
      <c r="A4" s="17" t="s">
        <v>57</v>
      </c>
      <c r="B4" s="18">
        <v>0.1</v>
      </c>
      <c r="C4" s="14"/>
    </row>
    <row r="5">
      <c r="A5" s="14"/>
      <c r="B5" s="14"/>
      <c r="C5" s="14"/>
    </row>
    <row r="6">
      <c r="A6" s="14"/>
      <c r="B6" s="14"/>
      <c r="C6" s="14"/>
    </row>
    <row r="7">
      <c r="A7" s="17" t="s">
        <v>38</v>
      </c>
      <c r="B7" s="46"/>
      <c r="C7" s="14"/>
    </row>
    <row r="8">
      <c r="A8" s="17">
        <v>1.0</v>
      </c>
      <c r="B8" s="19">
        <f t="shared" ref="B8:B13" si="1">-$B$2</f>
        <v>-185000</v>
      </c>
      <c r="C8" s="47"/>
    </row>
    <row r="9">
      <c r="A9" s="17">
        <v>2.0</v>
      </c>
      <c r="B9" s="19">
        <f t="shared" si="1"/>
        <v>-185000</v>
      </c>
      <c r="C9" s="47"/>
    </row>
    <row r="10">
      <c r="A10" s="17">
        <v>3.0</v>
      </c>
      <c r="B10" s="19">
        <f t="shared" si="1"/>
        <v>-185000</v>
      </c>
      <c r="C10" s="47"/>
    </row>
    <row r="11">
      <c r="A11" s="17">
        <v>4.0</v>
      </c>
      <c r="B11" s="19">
        <f t="shared" si="1"/>
        <v>-185000</v>
      </c>
      <c r="C11" s="47"/>
    </row>
    <row r="12">
      <c r="A12" s="17">
        <v>5.0</v>
      </c>
      <c r="B12" s="19">
        <f t="shared" si="1"/>
        <v>-185000</v>
      </c>
      <c r="C12" s="47"/>
    </row>
    <row r="13">
      <c r="A13" s="17">
        <v>6.0</v>
      </c>
      <c r="B13" s="19">
        <f t="shared" si="1"/>
        <v>-185000</v>
      </c>
      <c r="C13" s="47"/>
    </row>
    <row r="14">
      <c r="A14" s="17">
        <v>7.0</v>
      </c>
      <c r="B14" s="20">
        <f t="shared" ref="B14:B23" si="2">$B$3</f>
        <v>259000</v>
      </c>
      <c r="C14" s="47"/>
    </row>
    <row r="15">
      <c r="A15" s="17">
        <v>8.0</v>
      </c>
      <c r="B15" s="20">
        <f t="shared" si="2"/>
        <v>259000</v>
      </c>
      <c r="C15" s="47"/>
    </row>
    <row r="16">
      <c r="A16" s="17">
        <v>9.0</v>
      </c>
      <c r="B16" s="20">
        <f t="shared" si="2"/>
        <v>259000</v>
      </c>
      <c r="C16" s="47"/>
    </row>
    <row r="17">
      <c r="A17" s="17">
        <v>10.0</v>
      </c>
      <c r="B17" s="20">
        <f t="shared" si="2"/>
        <v>259000</v>
      </c>
      <c r="C17" s="47"/>
    </row>
    <row r="18">
      <c r="A18" s="17">
        <v>11.0</v>
      </c>
      <c r="B18" s="20">
        <f t="shared" si="2"/>
        <v>259000</v>
      </c>
      <c r="C18" s="47"/>
    </row>
    <row r="19">
      <c r="A19" s="17">
        <v>12.0</v>
      </c>
      <c r="B19" s="20">
        <f t="shared" si="2"/>
        <v>259000</v>
      </c>
      <c r="C19" s="47"/>
    </row>
    <row r="20">
      <c r="A20" s="17">
        <v>13.0</v>
      </c>
      <c r="B20" s="20">
        <f t="shared" si="2"/>
        <v>259000</v>
      </c>
      <c r="C20" s="47"/>
    </row>
    <row r="21">
      <c r="A21" s="17">
        <v>14.0</v>
      </c>
      <c r="B21" s="20">
        <f t="shared" si="2"/>
        <v>259000</v>
      </c>
      <c r="C21" s="47"/>
    </row>
    <row r="22">
      <c r="A22" s="17">
        <v>15.0</v>
      </c>
      <c r="B22" s="20">
        <f t="shared" si="2"/>
        <v>259000</v>
      </c>
      <c r="C22" s="47"/>
    </row>
    <row r="23">
      <c r="A23" s="17">
        <v>16.0</v>
      </c>
      <c r="B23" s="20">
        <f t="shared" si="2"/>
        <v>259000</v>
      </c>
      <c r="C23" s="47"/>
    </row>
    <row r="24">
      <c r="A24" s="14"/>
      <c r="B24" s="14"/>
      <c r="C24" s="14"/>
    </row>
    <row r="25">
      <c r="A25" s="14"/>
      <c r="B25" s="14"/>
      <c r="C25" s="14"/>
    </row>
    <row r="26">
      <c r="A26" s="15" t="s">
        <v>40</v>
      </c>
      <c r="B26" s="48">
        <f t="array" ref="B26">NPV(B4,B8:B23)</f>
        <v>92604.78774</v>
      </c>
      <c r="C26" s="14" t="str">
        <f>FORMULATEXT(B26)</f>
        <v>=NPV(B4;B8:B23)</v>
      </c>
    </row>
    <row r="27">
      <c r="A27" s="14"/>
      <c r="B27" s="14"/>
      <c r="C27" s="14"/>
    </row>
    <row r="28">
      <c r="A28" s="17" t="s">
        <v>58</v>
      </c>
      <c r="B28" s="23">
        <f>IRR(B8:B23)</f>
        <v>0.1161475273</v>
      </c>
      <c r="C28" s="46" t="str">
        <f t="shared" ref="C28:C29" si="3">FORMULATEXT(B28)</f>
        <v>=IRR(B8:B23)</v>
      </c>
    </row>
    <row r="29">
      <c r="A29" s="17" t="s">
        <v>59</v>
      </c>
      <c r="B29" s="49">
        <f t="array" ref="B29">NPV(B28,B8:B23)</f>
        <v>0.000000001258740667</v>
      </c>
      <c r="C29" s="46" t="str">
        <f t="shared" si="3"/>
        <v>=NPV(B28;B8:B23)</v>
      </c>
    </row>
    <row r="44">
      <c r="A44" s="13" t="s">
        <v>60</v>
      </c>
      <c r="B44" s="14"/>
      <c r="C44" s="14"/>
      <c r="D44" s="14"/>
      <c r="E44" s="14"/>
      <c r="F44" s="14"/>
      <c r="G44" s="14"/>
    </row>
    <row r="45">
      <c r="A45" s="17" t="s">
        <v>38</v>
      </c>
      <c r="B45" s="17" t="s">
        <v>39</v>
      </c>
      <c r="C45" s="14"/>
      <c r="D45" s="14"/>
      <c r="E45" s="14"/>
      <c r="F45" s="14"/>
      <c r="G45" s="14"/>
    </row>
    <row r="46">
      <c r="A46" s="17">
        <v>0.0</v>
      </c>
      <c r="B46" s="19">
        <v>-1.5E7</v>
      </c>
      <c r="C46" s="14"/>
      <c r="D46" s="14"/>
      <c r="E46" s="14"/>
      <c r="F46" s="14"/>
      <c r="G46" s="14"/>
    </row>
    <row r="47">
      <c r="A47" s="17">
        <v>1.0</v>
      </c>
      <c r="B47" s="19">
        <v>5000000.0</v>
      </c>
      <c r="G47" s="14"/>
    </row>
    <row r="48">
      <c r="A48" s="17">
        <v>2.0</v>
      </c>
      <c r="B48" s="19">
        <v>1.0E7</v>
      </c>
      <c r="C48" s="14"/>
      <c r="D48" s="14"/>
      <c r="E48" s="14"/>
      <c r="F48" s="14"/>
      <c r="G48" s="14"/>
    </row>
    <row r="49">
      <c r="A49" s="17">
        <v>3.0</v>
      </c>
      <c r="B49" s="19">
        <v>2.0E7</v>
      </c>
      <c r="C49" s="14"/>
      <c r="D49" s="14"/>
      <c r="E49" s="14"/>
      <c r="F49" s="14"/>
      <c r="G49" s="14"/>
    </row>
    <row r="50">
      <c r="A50" s="14"/>
      <c r="B50" s="14"/>
      <c r="C50" s="14"/>
      <c r="D50" s="14"/>
      <c r="E50" s="14"/>
      <c r="F50" s="14"/>
      <c r="G50" s="14"/>
    </row>
    <row r="51">
      <c r="A51" s="15" t="s">
        <v>61</v>
      </c>
      <c r="B51" s="50">
        <f>IRR(B46:B49)</f>
        <v>0.4396841484</v>
      </c>
      <c r="C51" s="14" t="str">
        <f>FORMULATEXT(B51)</f>
        <v>=IRR(B46:B49)</v>
      </c>
      <c r="F51" s="14"/>
      <c r="G51" s="14"/>
    </row>
    <row r="52">
      <c r="F52" s="14"/>
      <c r="G52" s="14"/>
    </row>
    <row r="53">
      <c r="A53" s="13" t="s">
        <v>62</v>
      </c>
      <c r="B53" s="14"/>
      <c r="C53" s="14"/>
      <c r="D53" s="14"/>
      <c r="E53" s="14"/>
      <c r="F53" s="14"/>
      <c r="G53" s="14"/>
    </row>
    <row r="54">
      <c r="A54" s="17" t="s">
        <v>38</v>
      </c>
      <c r="B54" s="17" t="s">
        <v>39</v>
      </c>
      <c r="C54" s="14"/>
      <c r="D54" s="14"/>
      <c r="E54" s="14"/>
      <c r="G54" s="14"/>
    </row>
    <row r="55">
      <c r="A55" s="17">
        <v>0.0</v>
      </c>
      <c r="B55" s="19">
        <v>-1.5E7</v>
      </c>
      <c r="C55" s="14"/>
      <c r="D55" s="14"/>
      <c r="E55" s="14"/>
      <c r="F55" s="14"/>
      <c r="G55" s="14"/>
    </row>
    <row r="56">
      <c r="A56" s="17">
        <v>1.0</v>
      </c>
      <c r="B56" s="19">
        <v>2.2E7</v>
      </c>
      <c r="C56" s="14"/>
      <c r="F56" s="14"/>
      <c r="G56" s="14"/>
    </row>
    <row r="57">
      <c r="A57" s="17">
        <v>2.0</v>
      </c>
      <c r="B57" s="19">
        <v>1.0E7</v>
      </c>
      <c r="C57" s="14"/>
      <c r="D57" s="14"/>
      <c r="E57" s="14"/>
      <c r="F57" s="14"/>
      <c r="G57" s="14"/>
    </row>
    <row r="58">
      <c r="A58" s="17">
        <v>3.0</v>
      </c>
      <c r="B58" s="19">
        <v>0.0</v>
      </c>
      <c r="C58" s="14"/>
      <c r="D58" s="14"/>
      <c r="E58" s="14"/>
      <c r="F58" s="14"/>
      <c r="G58" s="14"/>
    </row>
    <row r="59">
      <c r="A59" s="14"/>
      <c r="B59" s="14"/>
      <c r="C59" s="14"/>
      <c r="D59" s="14"/>
      <c r="E59" s="14"/>
      <c r="F59" s="14"/>
      <c r="G59" s="14"/>
    </row>
    <row r="60">
      <c r="A60" s="15" t="s">
        <v>58</v>
      </c>
      <c r="B60" s="50">
        <f>IRR(B55:B58)</f>
        <v>0.8308051755</v>
      </c>
      <c r="C60" s="14" t="str">
        <f>FORMULATEXT(B60)</f>
        <v>=IRR(B55:B58)</v>
      </c>
      <c r="D60" s="14"/>
      <c r="E60" s="14"/>
      <c r="F60" s="14"/>
      <c r="G60" s="14"/>
    </row>
    <row r="61">
      <c r="E61" s="14"/>
      <c r="F61" s="14"/>
      <c r="G61" s="14"/>
    </row>
    <row r="62">
      <c r="E62" s="14"/>
      <c r="F62" s="14"/>
      <c r="G62" s="14"/>
    </row>
    <row r="63">
      <c r="E63" s="14"/>
      <c r="F63" s="14"/>
      <c r="G63" s="14"/>
    </row>
    <row r="64">
      <c r="E64" s="14"/>
      <c r="I64" s="24">
        <f>B67-B69</f>
        <v>1086275.78</v>
      </c>
    </row>
    <row r="65">
      <c r="A65" s="15" t="s">
        <v>34</v>
      </c>
      <c r="B65" s="16">
        <v>0.05</v>
      </c>
      <c r="C65" s="14"/>
      <c r="D65" s="14"/>
      <c r="E65" s="14"/>
    </row>
    <row r="66">
      <c r="A66" s="14"/>
      <c r="B66" s="14"/>
      <c r="C66" s="14"/>
      <c r="D66" s="14"/>
    </row>
    <row r="67">
      <c r="A67" s="15" t="s">
        <v>63</v>
      </c>
      <c r="B67" s="48">
        <f t="array" ref="B67">NPV(B65,B47:B49)+B46</f>
        <v>16108951.52</v>
      </c>
      <c r="C67" s="14" t="str">
        <f>FORMULATEXT(B67)</f>
        <v>=NPV(B65;B47:B49)+B46</v>
      </c>
      <c r="D67" s="14"/>
    </row>
    <row r="68">
      <c r="A68" s="14"/>
      <c r="B68" s="14"/>
      <c r="C68" s="14"/>
      <c r="D68" s="14"/>
    </row>
    <row r="69">
      <c r="A69" s="15" t="s">
        <v>64</v>
      </c>
      <c r="B69" s="48">
        <f t="array" ref="B69">NPV(B65,B56:B58)+B55</f>
        <v>15022675.74</v>
      </c>
      <c r="C69" s="14" t="str">
        <f>FORMULATEXT(B69)</f>
        <v>=NPV(B65;B56:B58)+B55</v>
      </c>
      <c r="D69" s="14"/>
    </row>
    <row r="73">
      <c r="A73" s="51" t="s">
        <v>65</v>
      </c>
      <c r="B73" s="51" t="s">
        <v>66</v>
      </c>
      <c r="C73" s="51" t="s">
        <v>67</v>
      </c>
      <c r="D73" s="51" t="s">
        <v>68</v>
      </c>
    </row>
    <row r="74">
      <c r="A74" s="18">
        <v>0.07</v>
      </c>
      <c r="B74" s="20">
        <f t="shared" ref="B74:B82" si="4">NPV(A74,$B$47:$B$49)+$B$46</f>
        <v>14733242.02</v>
      </c>
      <c r="C74" s="20">
        <f t="shared" ref="C74:C82" si="5">NPV(A74,$B$56:$B$58)+$B$55</f>
        <v>14295134.95</v>
      </c>
      <c r="D74" s="20">
        <f t="shared" ref="D74:D82" si="6">B74-C74</f>
        <v>438107.0705</v>
      </c>
    </row>
    <row r="75">
      <c r="A75" s="18">
        <v>0.08</v>
      </c>
      <c r="B75" s="20">
        <f t="shared" si="4"/>
        <v>14079662.65</v>
      </c>
      <c r="C75" s="20">
        <f t="shared" si="5"/>
        <v>13943758.57</v>
      </c>
      <c r="D75" s="20">
        <f t="shared" si="6"/>
        <v>135904.0797</v>
      </c>
    </row>
    <row r="76">
      <c r="A76" s="18">
        <v>0.09</v>
      </c>
      <c r="B76" s="20">
        <f t="shared" si="4"/>
        <v>13447625.5</v>
      </c>
      <c r="C76" s="20">
        <f t="shared" si="5"/>
        <v>13600286.17</v>
      </c>
      <c r="D76" s="20">
        <f t="shared" si="6"/>
        <v>-152660.674</v>
      </c>
    </row>
    <row r="77">
      <c r="A77" s="18">
        <v>0.1</v>
      </c>
      <c r="B77" s="20">
        <f t="shared" si="4"/>
        <v>12836213.37</v>
      </c>
      <c r="C77" s="20">
        <f t="shared" si="5"/>
        <v>13264462.81</v>
      </c>
      <c r="D77" s="20">
        <f t="shared" si="6"/>
        <v>-428249.4365</v>
      </c>
    </row>
    <row r="78">
      <c r="A78" s="18">
        <v>0.11</v>
      </c>
      <c r="B78" s="20">
        <f t="shared" si="4"/>
        <v>12244556.46</v>
      </c>
      <c r="C78" s="20">
        <f t="shared" si="5"/>
        <v>12936044.15</v>
      </c>
      <c r="D78" s="20">
        <f t="shared" si="6"/>
        <v>-691487.6893</v>
      </c>
    </row>
    <row r="79">
      <c r="A79" s="18">
        <v>0.12</v>
      </c>
      <c r="B79" s="20">
        <f t="shared" si="4"/>
        <v>11671829.45</v>
      </c>
      <c r="C79" s="20">
        <f t="shared" si="5"/>
        <v>12614795.92</v>
      </c>
      <c r="D79" s="20">
        <f t="shared" si="6"/>
        <v>-942966.4723</v>
      </c>
    </row>
    <row r="80">
      <c r="A80" s="18">
        <v>0.13</v>
      </c>
      <c r="B80" s="20">
        <f t="shared" si="4"/>
        <v>11117248.84</v>
      </c>
      <c r="C80" s="20">
        <f t="shared" si="5"/>
        <v>12300493.38</v>
      </c>
      <c r="D80" s="20">
        <f t="shared" si="6"/>
        <v>-1183244.542</v>
      </c>
    </row>
    <row r="81">
      <c r="A81" s="18">
        <v>0.14</v>
      </c>
      <c r="B81" s="20">
        <f t="shared" si="4"/>
        <v>10580070.52</v>
      </c>
      <c r="C81" s="20">
        <f t="shared" si="5"/>
        <v>11992920.9</v>
      </c>
      <c r="D81" s="20">
        <f t="shared" si="6"/>
        <v>-1412850.378</v>
      </c>
    </row>
    <row r="82">
      <c r="A82" s="18">
        <v>0.15</v>
      </c>
      <c r="B82" s="20">
        <f t="shared" si="4"/>
        <v>10059587.41</v>
      </c>
      <c r="C82" s="20">
        <f t="shared" si="5"/>
        <v>11691871.46</v>
      </c>
      <c r="D82" s="20">
        <f t="shared" si="6"/>
        <v>-1632284.047</v>
      </c>
    </row>
  </sheetData>
  <drawing r:id="rId1"/>
</worksheet>
</file>